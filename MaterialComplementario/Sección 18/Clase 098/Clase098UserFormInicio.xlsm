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8\Clase 098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r:id="rId3"/>
    <sheet name="00000001-29-06-2017" sheetId="7" state="veryHidden" r:id="rId4"/>
    <sheet name="00000002-30-06-2017" sheetId="8" state="veryHidden" r:id="rId5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6" l="1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8" l="1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31" i="8" s="1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33" i="8" l="1"/>
  <c r="F32" i="8"/>
  <c r="F32" i="7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<sst xmlns="http://schemas.openxmlformats.org/spreadsheetml/2006/main" count="123" uniqueCount="61">
  <si>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</si>
  <si>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</si>
  <si>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</si>
  <si>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</si>
  <si>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</si>
  <si>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</si>
  <si>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</si>
  <si>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</si>
  <si>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</si>
  <si>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</si>
  <si>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</si>
  <si>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</si>
  <si>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</si>
  <si>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</si>
  <si>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</si>
  <si>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</si>
  <si>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</si>
  <si>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</si>
  <si>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</si>
  <si>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</si>
  <si>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</si>
  <si>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</si>
  <si>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</si>
  <si>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</si>
  <si>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</si>
  <si>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</si>
  <si>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</si>
  <si>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</si>
  <si>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</si>
  <si>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</si>
  <si>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</si>
  <si>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</si>
  <si>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</si>
  <si>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</si>
  <si>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</si>
  <si>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</si>
  <si>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</si>
  <si>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</si>
  <si>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</si>
  <si>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</si>
  <si>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</si>
  <si>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</si>
  <si>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</si>
  <si>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</si>
  <si>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</si>
  <si>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</si>
  <si>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</si>
  <si>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</si>
  <si>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</si>
  <si>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</si>
  <si>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</si>
  <si>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</si>
  <si>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</si>
  <si>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444444444A</t>
  </si>
  <si>
    <t>LUIS</t>
  </si>
  <si>
    <t>Productos</t>
  </si>
  <si>
    <t>Facturas</t>
  </si>
  <si>
    <t>Stock</t>
  </si>
  <si>
    <t>Stock Minimo</t>
  </si>
  <si>
    <t>Histórico Facturas</t>
  </si>
  <si>
    <t>11111111A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</si>
</sst>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5" fillId="4" borderId="0" xfId="0" applyFont="1" applyFill="1"/>
    <xf numFmtId="0" fontId="0" fillId="5" borderId="0" xfId="0" applyFill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5" fillId="4" borderId="0" xfId="0" applyFont="1" applyFill="1" applyAlignment="1">
      <alignment horizontal="left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4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5.emf"/><Relationship Id="rId2" Type="http://schemas.openxmlformats.org/officeDocument/2006/relationships/image" Target="../media/image10.emf"/><Relationship Id="rId16" Type="http://schemas.openxmlformats.org/officeDocument/2006/relationships/image" Target="../media/image1.emf"/><Relationship Id="rId1" Type="http://schemas.openxmlformats.org/officeDocument/2006/relationships/image" Target="../media/image9.emf"/><Relationship Id="rId6" Type="http://schemas.openxmlformats.org/officeDocument/2006/relationships/image" Target="../media/image8.emf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2.emf"/><Relationship Id="rId10" Type="http://schemas.openxmlformats.org/officeDocument/2006/relationships/image" Target="../media/image15.emf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7</xdr:row>
          <xdr:rowOff>38100</xdr:rowOff>
        </xdr:from>
        <xdr:to>
          <xdr:col>9</xdr:col>
          <xdr:colOff>754380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5</xdr:row>
          <xdr:rowOff>38100</xdr:rowOff>
        </xdr:from>
        <xdr:to>
          <xdr:col>9</xdr:col>
          <xdr:colOff>754380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678180</xdr:colOff>
          <xdr:row>26</xdr:row>
          <xdr:rowOff>76200</xdr:rowOff>
        </xdr:from>
        <xdr:to>
          <xdr:col>9</xdr:col>
          <xdr:colOff>754380</xdr:colOff>
          <xdr:row>27</xdr:row>
          <xdr:rowOff>167640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26</xdr:row>
          <xdr:rowOff>129540</xdr:rowOff>
        </xdr:from>
        <xdr:to>
          <xdr:col>8</xdr:col>
          <xdr:colOff>632460</xdr:colOff>
          <xdr:row>27</xdr:row>
          <xdr:rowOff>121920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27</xdr:row>
          <xdr:rowOff>160020</xdr:rowOff>
        </xdr:from>
        <xdr:to>
          <xdr:col>9</xdr:col>
          <xdr:colOff>480060</xdr:colOff>
          <xdr:row>28</xdr:row>
          <xdr:rowOff>167640</xdr:rowOff>
        </xdr:to>
        <xdr:sp macro="" textlink="">
          <xdr:nvSpPr>
            <xdr:cNvPr id="2065" name="Label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12</xdr:row>
          <xdr:rowOff>106680</xdr:rowOff>
        </xdr:from>
        <xdr:to>
          <xdr:col>8</xdr:col>
          <xdr:colOff>632460</xdr:colOff>
          <xdr:row>13</xdr:row>
          <xdr:rowOff>175260</xdr:rowOff>
        </xdr:to>
        <xdr:sp macro="" textlink="">
          <xdr:nvSpPr>
            <xdr:cNvPr id="2068" name="optExcel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14</xdr:row>
          <xdr:rowOff>68580</xdr:rowOff>
        </xdr:from>
        <xdr:to>
          <xdr:col>8</xdr:col>
          <xdr:colOff>640080</xdr:colOff>
          <xdr:row>15</xdr:row>
          <xdr:rowOff>129540</xdr:rowOff>
        </xdr:to>
        <xdr:sp macro="" textlink="">
          <xdr:nvSpPr>
            <xdr:cNvPr id="2069" name="optPdf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655320</xdr:colOff>
          <xdr:row>12</xdr:row>
          <xdr:rowOff>68580</xdr:rowOff>
        </xdr:from>
        <xdr:to>
          <xdr:col>9</xdr:col>
          <xdr:colOff>769620</xdr:colOff>
          <xdr:row>14</xdr:row>
          <xdr:rowOff>7620</xdr:rowOff>
        </xdr:to>
        <xdr:sp macro="" textlink="">
          <xdr:nvSpPr>
            <xdr:cNvPr id="2072" name="cmdExporta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167640</xdr:colOff>
          <xdr:row>5</xdr:row>
          <xdr:rowOff>68580</xdr:rowOff>
        </xdr:from>
        <xdr:to>
          <xdr:col>8</xdr:col>
          <xdr:colOff>480060</xdr:colOff>
          <xdr:row>6</xdr:row>
          <xdr:rowOff>121920</xdr:rowOff>
        </xdr:to>
        <xdr:sp macro="" textlink="">
          <xdr:nvSpPr>
            <xdr:cNvPr id="2073" name="chkImprimi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177165</xdr:colOff>
          <xdr:row>16</xdr:row>
          <xdr:rowOff>72390</xdr:rowOff>
        </xdr:from>
        <xdr:to>
          <xdr:col>9</xdr:col>
          <xdr:colOff>219075</xdr:colOff>
          <xdr:row>19</xdr:row>
          <xdr:rowOff>85725</xdr:rowOff>
        </xdr:to>
        <xdr:sp macro="" textlink="">
          <xdr:nvSpPr>
            <xdr:cNvPr id="2074" name="lstFactura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205740</xdr:colOff>
          <xdr:row>21</xdr:row>
          <xdr:rowOff>0</xdr:rowOff>
        </xdr:from>
        <xdr:to>
          <xdr:col>8</xdr:col>
          <xdr:colOff>327660</xdr:colOff>
          <xdr:row>22</xdr:row>
          <xdr:rowOff>129540</xdr:rowOff>
        </xdr:to>
        <xdr:sp macro="" textlink="">
          <xdr:nvSpPr>
            <xdr:cNvPr id="2075" name="cmdVe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449580</xdr:colOff>
          <xdr:row>21</xdr:row>
          <xdr:rowOff>7620</xdr:rowOff>
        </xdr:from>
        <xdr:to>
          <xdr:col>9</xdr:col>
          <xdr:colOff>571500</xdr:colOff>
          <xdr:row>22</xdr:row>
          <xdr:rowOff>121920</xdr:rowOff>
        </xdr:to>
        <xdr:sp macro="" textlink="">
          <xdr:nvSpPr>
            <xdr:cNvPr id="2076" name="cmdEliminar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662940</xdr:colOff>
          <xdr:row>31</xdr:row>
          <xdr:rowOff>30480</xdr:rowOff>
        </xdr:from>
        <xdr:to>
          <xdr:col>9</xdr:col>
          <xdr:colOff>777240</xdr:colOff>
          <xdr:row>32</xdr:row>
          <xdr:rowOff>144780</xdr:rowOff>
        </xdr:to>
        <xdr:sp macro="" textlink="">
          <xdr:nvSpPr>
            <xdr:cNvPr id="2077" name="cmdNuevo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Nombre"/>
    <tableColumn id="3" name="Precio" dataDxfId="0"/>
    <tableColumn id="4" name="Stock"/>
    <tableColumn id="5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J33"/>
  <sheetViews>
    <sheetView tabSelected="1" zoomScale="80" zoomScaleNormal="80" workbookViewId="0">
      <selection activeCell="J20" sqref="J20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10" ht="10.199999999999999" customHeight="1" x14ac:dyDescent="0.3"/>
    <row r="2" spans="2:10" x14ac:dyDescent="0.3">
      <c r="B2" s="22" t="s">
        <v>0</v>
      </c>
      <c r="C2" s="23"/>
      <c r="D2" s="1"/>
      <c r="E2" s="1"/>
      <c r="F2" s="1"/>
    </row>
    <row r="3" spans="2:10" x14ac:dyDescent="0.3">
      <c r="B3" s="23"/>
      <c r="C3" s="23"/>
      <c r="D3" s="1"/>
      <c r="E3" s="1"/>
      <c r="F3" s="1"/>
    </row>
    <row r="4" spans="2:10" ht="22.8" customHeight="1" thickBot="1" x14ac:dyDescent="0.35">
      <c r="B4" s="23"/>
      <c r="C4" s="23"/>
      <c r="D4" s="1"/>
      <c r="E4" s="1"/>
      <c r="F4" s="1"/>
    </row>
    <row r="5" spans="2:10" ht="15" thickBot="1" x14ac:dyDescent="0.35">
      <c r="B5" s="1" t="s">
        <v>1</v>
      </c>
      <c r="C5" s="1"/>
      <c r="D5" s="1"/>
      <c r="E5" s="2" t="s">
        <v>2</v>
      </c>
      <c r="F5" s="3">
        <v>42944</v>
      </c>
      <c r="H5" s="20" t="s">
        <v>56</v>
      </c>
    </row>
    <row r="6" spans="2:10" ht="15" thickBot="1" x14ac:dyDescent="0.35">
      <c r="B6" s="1" t="s">
        <v>3</v>
      </c>
      <c r="C6" s="1"/>
      <c r="D6" s="1"/>
      <c r="E6" s="2" t="s">
        <v>4</v>
      </c>
      <c r="F6" s="2">
        <v>4</v>
      </c>
      <c r="H6" s="21"/>
      <c r="I6" s="21"/>
      <c r="J6" s="21"/>
    </row>
    <row r="7" spans="2:10" ht="15" thickBot="1" x14ac:dyDescent="0.35">
      <c r="B7" s="1"/>
      <c r="C7" s="1"/>
      <c r="D7" s="1"/>
      <c r="E7" s="1"/>
      <c r="F7" s="1"/>
      <c r="H7" s="21"/>
      <c r="I7" s="21"/>
      <c r="J7" s="21"/>
    </row>
    <row r="8" spans="2:10" ht="15" thickBot="1" x14ac:dyDescent="0.35">
      <c r="B8" s="2" t="s">
        <v>5</v>
      </c>
      <c r="C8" s="2"/>
      <c r="D8" s="1"/>
      <c r="E8" s="1"/>
      <c r="F8" s="1"/>
      <c r="H8" s="21"/>
      <c r="I8" s="21"/>
      <c r="J8" s="21"/>
    </row>
    <row r="9" spans="2:10" ht="15" thickBot="1" x14ac:dyDescent="0.35">
      <c r="B9" s="2" t="s">
        <v>6</v>
      </c>
      <c r="C9" s="2"/>
      <c r="D9" s="1"/>
      <c r="E9" s="1"/>
      <c r="F9" s="1"/>
      <c r="H9" s="21"/>
      <c r="I9" s="21"/>
      <c r="J9" s="21"/>
    </row>
    <row r="10" spans="2:10" ht="15" thickBot="1" x14ac:dyDescent="0.35">
      <c r="B10" s="2" t="s">
        <v>7</v>
      </c>
      <c r="C10" s="2"/>
      <c r="D10" s="1"/>
      <c r="E10" s="2" t="s">
        <v>8</v>
      </c>
      <c r="F10" s="2"/>
    </row>
    <row r="11" spans="2:10" ht="15" thickBot="1" x14ac:dyDescent="0.35">
      <c r="B11" s="1"/>
      <c r="C11" s="1"/>
      <c r="D11" s="1"/>
      <c r="E11" s="1"/>
      <c r="F11" s="1"/>
    </row>
    <row r="12" spans="2:10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6" t="s">
        <v>59</v>
      </c>
      <c r="I12" s="26"/>
    </row>
    <row r="13" spans="2:10" x14ac:dyDescent="0.3">
      <c r="B13" s="9"/>
      <c r="C13" s="6"/>
      <c r="D13" s="7"/>
      <c r="E13" s="5"/>
      <c r="F13" s="7" t="str">
        <f>IF(E13="","",D13*E13)</f>
        <v/>
      </c>
      <c r="H13" s="21"/>
      <c r="I13" s="21"/>
      <c r="J13" s="21"/>
    </row>
    <row r="14" spans="2:10" x14ac:dyDescent="0.3">
      <c r="B14" s="8"/>
      <c r="C14" s="9"/>
      <c r="D14" s="10"/>
      <c r="E14" s="8"/>
      <c r="F14" s="10" t="str">
        <f t="shared" ref="F14:F30" si="0">IF(E14="","",D14*E14)</f>
        <v/>
      </c>
      <c r="H14" s="21"/>
      <c r="I14" s="21"/>
      <c r="J14" s="21"/>
    </row>
    <row r="15" spans="2:10" x14ac:dyDescent="0.3">
      <c r="B15" s="8"/>
      <c r="C15" s="9"/>
      <c r="D15" s="10"/>
      <c r="E15" s="8"/>
      <c r="F15" s="10" t="str">
        <f t="shared" si="0"/>
        <v/>
      </c>
      <c r="H15" s="21"/>
      <c r="I15" s="21"/>
      <c r="J15" s="21"/>
    </row>
    <row r="16" spans="2:10" x14ac:dyDescent="0.3">
      <c r="B16" s="8"/>
      <c r="C16" s="9"/>
      <c r="D16" s="10"/>
      <c r="E16" s="8"/>
      <c r="F16" s="10" t="str">
        <f t="shared" si="0"/>
        <v/>
      </c>
      <c r="H16" s="21"/>
      <c r="I16" s="21"/>
      <c r="J16" s="21"/>
    </row>
    <row r="17" spans="2:10" x14ac:dyDescent="0.3">
      <c r="B17" s="8"/>
      <c r="C17" s="9"/>
      <c r="D17" s="8"/>
      <c r="E17" s="8"/>
      <c r="F17" s="10" t="str">
        <f t="shared" si="0"/>
        <v/>
      </c>
      <c r="H17" s="21"/>
      <c r="I17" s="21"/>
      <c r="J17" s="21"/>
    </row>
    <row r="18" spans="2:10" x14ac:dyDescent="0.3">
      <c r="B18" s="8"/>
      <c r="C18" s="9"/>
      <c r="D18" s="8"/>
      <c r="E18" s="8"/>
      <c r="F18" s="10" t="str">
        <f t="shared" si="0"/>
        <v/>
      </c>
      <c r="H18" s="21"/>
      <c r="I18" s="21"/>
      <c r="J18" s="21"/>
    </row>
    <row r="19" spans="2:10" x14ac:dyDescent="0.3">
      <c r="B19" s="8"/>
      <c r="C19" s="9"/>
      <c r="D19" s="8"/>
      <c r="E19" s="8"/>
      <c r="F19" s="10" t="str">
        <f t="shared" si="0"/>
        <v/>
      </c>
      <c r="H19" s="21"/>
      <c r="I19" s="21"/>
      <c r="J19" s="21"/>
    </row>
    <row r="20" spans="2:10" x14ac:dyDescent="0.3">
      <c r="B20" s="8"/>
      <c r="C20" s="9"/>
      <c r="D20" s="8"/>
      <c r="E20" s="8"/>
      <c r="F20" s="10" t="str">
        <f t="shared" si="0"/>
        <v/>
      </c>
      <c r="H20" s="21"/>
      <c r="I20" s="21"/>
      <c r="J20" s="21"/>
    </row>
    <row r="21" spans="2:10" x14ac:dyDescent="0.3">
      <c r="B21" s="8"/>
      <c r="C21" s="9"/>
      <c r="D21" s="8"/>
      <c r="E21" s="8"/>
      <c r="F21" s="10" t="str">
        <f t="shared" si="0"/>
        <v/>
      </c>
      <c r="H21" s="21"/>
      <c r="I21" s="21"/>
      <c r="J21" s="21"/>
    </row>
    <row r="22" spans="2:10" x14ac:dyDescent="0.3">
      <c r="B22" s="8"/>
      <c r="C22" s="9"/>
      <c r="D22" s="8"/>
      <c r="E22" s="8"/>
      <c r="F22" s="10" t="str">
        <f t="shared" si="0"/>
        <v/>
      </c>
      <c r="H22" s="21"/>
      <c r="I22" s="21"/>
      <c r="J22" s="21"/>
    </row>
    <row r="23" spans="2:10" x14ac:dyDescent="0.3">
      <c r="B23" s="8"/>
      <c r="C23" s="9"/>
      <c r="D23" s="8"/>
      <c r="E23" s="8"/>
      <c r="F23" s="10" t="str">
        <f t="shared" si="0"/>
        <v/>
      </c>
      <c r="H23" s="21"/>
      <c r="I23" s="21"/>
      <c r="J23" s="21"/>
    </row>
    <row r="24" spans="2:10" x14ac:dyDescent="0.3">
      <c r="B24" s="8"/>
      <c r="C24" s="9"/>
      <c r="D24" s="8"/>
      <c r="E24" s="8"/>
      <c r="F24" s="10" t="str">
        <f t="shared" si="0"/>
        <v/>
      </c>
    </row>
    <row r="25" spans="2:10" x14ac:dyDescent="0.3">
      <c r="B25" s="8"/>
      <c r="C25" s="9"/>
      <c r="D25" s="8"/>
      <c r="E25" s="8"/>
      <c r="F25" s="10" t="str">
        <f t="shared" si="0"/>
        <v/>
      </c>
    </row>
    <row r="26" spans="2:10" x14ac:dyDescent="0.3">
      <c r="B26" s="8"/>
      <c r="C26" s="9"/>
      <c r="D26" s="8"/>
      <c r="E26" s="8"/>
      <c r="F26" s="10" t="str">
        <f t="shared" si="0"/>
        <v/>
      </c>
      <c r="H26" s="20" t="s">
        <v>55</v>
      </c>
    </row>
    <row r="27" spans="2:10" x14ac:dyDescent="0.3">
      <c r="B27" s="8"/>
      <c r="C27" s="9"/>
      <c r="D27" s="8"/>
      <c r="E27" s="8"/>
      <c r="F27" s="10" t="str">
        <f t="shared" si="0"/>
        <v/>
      </c>
      <c r="H27" s="21"/>
      <c r="I27" s="21"/>
      <c r="J27" s="21"/>
    </row>
    <row r="28" spans="2:10" x14ac:dyDescent="0.3">
      <c r="B28" s="8"/>
      <c r="C28" s="9"/>
      <c r="D28" s="8"/>
      <c r="E28" s="8"/>
      <c r="F28" s="10" t="str">
        <f t="shared" si="0"/>
        <v/>
      </c>
      <c r="H28" s="21"/>
      <c r="I28" s="21"/>
      <c r="J28" s="21"/>
    </row>
    <row r="29" spans="2:10" x14ac:dyDescent="0.3">
      <c r="B29" s="8"/>
      <c r="C29" s="9"/>
      <c r="D29" s="8"/>
      <c r="E29" s="8"/>
      <c r="F29" s="10" t="str">
        <f t="shared" si="0"/>
        <v/>
      </c>
      <c r="H29" s="21"/>
      <c r="I29" s="21"/>
      <c r="J29" s="21"/>
    </row>
    <row r="30" spans="2:10" ht="15" thickBot="1" x14ac:dyDescent="0.35">
      <c r="B30" s="11"/>
      <c r="C30" s="12"/>
      <c r="D30" s="11"/>
      <c r="E30" s="11"/>
      <c r="F30" s="19" t="str">
        <f t="shared" si="0"/>
        <v/>
      </c>
      <c r="H30" s="21"/>
      <c r="I30" s="21"/>
      <c r="J30" s="21"/>
    </row>
    <row r="31" spans="2:10" ht="15" thickBot="1" x14ac:dyDescent="0.35">
      <c r="D31" s="24" t="s">
        <v>14</v>
      </c>
      <c r="E31" s="24"/>
      <c r="F31" s="13">
        <f>SUM(F13:F30)</f>
        <v>0</v>
      </c>
      <c r="H31" s="21"/>
      <c r="I31" s="21"/>
      <c r="J31" s="21"/>
    </row>
    <row r="32" spans="2:10" ht="15" thickBot="1" x14ac:dyDescent="0.35">
      <c r="D32" s="2" t="s">
        <v>15</v>
      </c>
      <c r="E32" s="14">
        <v>0.21</v>
      </c>
      <c r="F32" s="13">
        <f>F31*E32</f>
        <v>0</v>
      </c>
      <c r="H32" s="21"/>
      <c r="I32" s="21"/>
      <c r="J32" s="21"/>
    </row>
    <row r="33" spans="4:10" ht="15" thickBot="1" x14ac:dyDescent="0.35">
      <c r="D33" s="25" t="s">
        <v>16</v>
      </c>
      <c r="E33" s="25"/>
      <c r="F33" s="13">
        <f>F31+F32</f>
        <v>0</v>
      </c>
      <c r="H33" s="21"/>
      <c r="I33" s="21"/>
      <c r="J33" s="21"/>
    </row>
  </sheetData>
  <mergeCells count="4">
    <mergeCell ref="B2:C4"/>
    <mergeCell ref="D31:E31"/>
    <mergeCell ref="D33:E33"/>
    <mergeCell ref="H12:I1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7" r:id="rId4" name="cmdNuevo">
          <controlPr defaultSize="0" autoLine="0" r:id="rId5">
            <anchor moveWithCells="1">
              <from>
                <xdr:col>8</xdr:col>
                <xdr:colOff>662940</xdr:colOff>
                <xdr:row>31</xdr:row>
                <xdr:rowOff>30480</xdr:rowOff>
              </from>
              <to>
                <xdr:col>9</xdr:col>
                <xdr:colOff>777240</xdr:colOff>
                <xdr:row>32</xdr:row>
                <xdr:rowOff>144780</xdr:rowOff>
              </to>
            </anchor>
          </controlPr>
        </control>
      </mc:Choice>
      <mc:Fallback>
        <control shapeId="2077" r:id="rId4" name="cmdNuevo"/>
      </mc:Fallback>
    </mc:AlternateContent>
    <mc:AlternateContent xmlns:mc="http://schemas.openxmlformats.org/markup-compatibility/2006">
      <mc:Choice Requires="x14">
        <control shapeId="2076" r:id="rId6" name="cmdEliminar">
          <controlPr defaultSize="0" autoLine="0" r:id="rId7">
            <anchor moveWithCells="1">
              <from>
                <xdr:col>8</xdr:col>
                <xdr:colOff>449580</xdr:colOff>
                <xdr:row>21</xdr:row>
                <xdr:rowOff>7620</xdr:rowOff>
              </from>
              <to>
                <xdr:col>9</xdr:col>
                <xdr:colOff>571500</xdr:colOff>
                <xdr:row>22</xdr:row>
                <xdr:rowOff>121920</xdr:rowOff>
              </to>
            </anchor>
          </controlPr>
        </control>
      </mc:Choice>
      <mc:Fallback>
        <control shapeId="2076" r:id="rId6" name="cmdEliminar"/>
      </mc:Fallback>
    </mc:AlternateContent>
    <mc:AlternateContent xmlns:mc="http://schemas.openxmlformats.org/markup-compatibility/2006">
      <mc:Choice Requires="x14">
        <control shapeId="2075" r:id="rId8" name="cmdVer">
          <controlPr defaultSize="0" autoLine="0" r:id="rId9">
            <anchor moveWithCells="1">
              <from>
                <xdr:col>7</xdr:col>
                <xdr:colOff>205740</xdr:colOff>
                <xdr:row>21</xdr:row>
                <xdr:rowOff>0</xdr:rowOff>
              </from>
              <to>
                <xdr:col>8</xdr:col>
                <xdr:colOff>327660</xdr:colOff>
                <xdr:row>22</xdr:row>
                <xdr:rowOff>129540</xdr:rowOff>
              </to>
            </anchor>
          </controlPr>
        </control>
      </mc:Choice>
      <mc:Fallback>
        <control shapeId="2075" r:id="rId8" name="cmdVer"/>
      </mc:Fallback>
    </mc:AlternateContent>
    <mc:AlternateContent xmlns:mc="http://schemas.openxmlformats.org/markup-compatibility/2006">
      <mc:Choice Requires="x14">
        <control shapeId="2074" r:id="rId10" name="lstFacturas">
          <controlPr defaultSize="0" autoLine="0" r:id="rId11">
            <anchor moveWithCells="1">
              <from>
                <xdr:col>7</xdr:col>
                <xdr:colOff>175260</xdr:colOff>
                <xdr:row>16</xdr:row>
                <xdr:rowOff>76200</xdr:rowOff>
              </from>
              <to>
                <xdr:col>9</xdr:col>
                <xdr:colOff>220980</xdr:colOff>
                <xdr:row>19</xdr:row>
                <xdr:rowOff>83820</xdr:rowOff>
              </to>
            </anchor>
          </controlPr>
        </control>
      </mc:Choice>
      <mc:Fallback>
        <control shapeId="2074" r:id="rId10" name="lstFacturas"/>
      </mc:Fallback>
    </mc:AlternateContent>
    <mc:AlternateContent xmlns:mc="http://schemas.openxmlformats.org/markup-compatibility/2006">
      <mc:Choice Requires="x14">
        <control shapeId="2073" r:id="rId12" name="chkImprimir">
          <controlPr defaultSize="0" autoLine="0" autoPict="0" r:id="rId13">
            <anchor moveWithCells="1">
              <from>
                <xdr:col>7</xdr:col>
                <xdr:colOff>167640</xdr:colOff>
                <xdr:row>5</xdr:row>
                <xdr:rowOff>68580</xdr:rowOff>
              </from>
              <to>
                <xdr:col>8</xdr:col>
                <xdr:colOff>480060</xdr:colOff>
                <xdr:row>6</xdr:row>
                <xdr:rowOff>121920</xdr:rowOff>
              </to>
            </anchor>
          </controlPr>
        </control>
      </mc:Choice>
      <mc:Fallback>
        <control shapeId="2073" r:id="rId12" name="chkImprimir"/>
      </mc:Fallback>
    </mc:AlternateContent>
    <mc:AlternateContent xmlns:mc="http://schemas.openxmlformats.org/markup-compatibility/2006">
      <mc:Choice Requires="x14">
        <control shapeId="2065" r:id="rId14" name="Label3">
          <controlPr defaultSize="0" autoLine="0" r:id="rId15">
            <anchor moveWithCells="1">
              <from>
                <xdr:col>7</xdr:col>
                <xdr:colOff>45720</xdr:colOff>
                <xdr:row>27</xdr:row>
                <xdr:rowOff>160020</xdr:rowOff>
              </from>
              <to>
                <xdr:col>9</xdr:col>
                <xdr:colOff>480060</xdr:colOff>
                <xdr:row>28</xdr:row>
                <xdr:rowOff>167640</xdr:rowOff>
              </to>
            </anchor>
          </controlPr>
        </control>
      </mc:Choice>
      <mc:Fallback>
        <control shapeId="2065" r:id="rId14" name="Label3"/>
      </mc:Fallback>
    </mc:AlternateContent>
    <mc:AlternateContent xmlns:mc="http://schemas.openxmlformats.org/markup-compatibility/2006">
      <mc:Choice Requires="x14">
        <control shapeId="2064" r:id="rId16" name="lblUltimoInforme">
          <controlPr defaultSize="0" autoLine="0" r:id="rId17">
            <anchor moveWithCells="1">
              <from>
                <xdr:col>7</xdr:col>
                <xdr:colOff>53340</xdr:colOff>
                <xdr:row>26</xdr:row>
                <xdr:rowOff>129540</xdr:rowOff>
              </from>
              <to>
                <xdr:col>8</xdr:col>
                <xdr:colOff>632460</xdr:colOff>
                <xdr:row>27</xdr:row>
                <xdr:rowOff>121920</xdr:rowOff>
              </to>
            </anchor>
          </controlPr>
        </control>
      </mc:Choice>
      <mc:Fallback>
        <control shapeId="2064" r:id="rId16" name="lblUltimoInforme"/>
      </mc:Fallback>
    </mc:AlternateContent>
    <mc:AlternateContent xmlns:mc="http://schemas.openxmlformats.org/markup-compatibility/2006">
      <mc:Choice Requires="x14">
        <control shapeId="2063" r:id="rId18" name="cmdControlStock">
          <controlPr defaultSize="0" autoLine="0" r:id="rId19">
            <anchor moveWithCells="1">
              <from>
                <xdr:col>8</xdr:col>
                <xdr:colOff>678180</xdr:colOff>
                <xdr:row>26</xdr:row>
                <xdr:rowOff>76200</xdr:rowOff>
              </from>
              <to>
                <xdr:col>9</xdr:col>
                <xdr:colOff>754380</xdr:colOff>
                <xdr:row>27</xdr:row>
                <xdr:rowOff>167640</xdr:rowOff>
              </to>
            </anchor>
          </controlPr>
        </control>
      </mc:Choice>
      <mc:Fallback>
        <control shapeId="2063" r:id="rId18" name="cmdControlStock"/>
      </mc:Fallback>
    </mc:AlternateContent>
    <mc:AlternateContent xmlns:mc="http://schemas.openxmlformats.org/markup-compatibility/2006">
      <mc:Choice Requires="x14">
        <control shapeId="2055" r:id="rId20" name="Label1">
          <controlPr defaultSize="0" autoLine="0" r:id="rId21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20" name="Label1"/>
      </mc:Fallback>
    </mc:AlternateContent>
    <mc:AlternateContent xmlns:mc="http://schemas.openxmlformats.org/markup-compatibility/2006">
      <mc:Choice Requires="x14">
        <control shapeId="2056" r:id="rId22" name="Label2">
          <controlPr defaultSize="0" autoLine="0" r:id="rId23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22" name="Label2"/>
      </mc:Fallback>
    </mc:AlternateContent>
    <mc:AlternateContent xmlns:mc="http://schemas.openxmlformats.org/markup-compatibility/2006">
      <mc:Choice Requires="x14">
        <control shapeId="2060" r:id="rId24" name="cmdFacturaNueva">
          <controlPr defaultSize="0" autoLine="0" r:id="rId25">
            <anchor moveWithCells="1">
              <from>
                <xdr:col>8</xdr:col>
                <xdr:colOff>632460</xdr:colOff>
                <xdr:row>7</xdr:row>
                <xdr:rowOff>38100</xdr:rowOff>
              </from>
              <to>
                <xdr:col>9</xdr:col>
                <xdr:colOff>754380</xdr:colOff>
                <xdr:row>8</xdr:row>
                <xdr:rowOff>152400</xdr:rowOff>
              </to>
            </anchor>
          </controlPr>
        </control>
      </mc:Choice>
      <mc:Fallback>
        <control shapeId="2060" r:id="rId24" name="cmdFacturaNueva"/>
      </mc:Fallback>
    </mc:AlternateContent>
    <mc:AlternateContent xmlns:mc="http://schemas.openxmlformats.org/markup-compatibility/2006">
      <mc:Choice Requires="x14">
        <control shapeId="2061" r:id="rId26" name="cmdGuardarFactura">
          <controlPr defaultSize="0" autoLine="0" r:id="rId27">
            <anchor moveWithCells="1">
              <from>
                <xdr:col>8</xdr:col>
                <xdr:colOff>632460</xdr:colOff>
                <xdr:row>5</xdr:row>
                <xdr:rowOff>38100</xdr:rowOff>
              </from>
              <to>
                <xdr:col>9</xdr:col>
                <xdr:colOff>754380</xdr:colOff>
                <xdr:row>6</xdr:row>
                <xdr:rowOff>152400</xdr:rowOff>
              </to>
            </anchor>
          </controlPr>
        </control>
      </mc:Choice>
      <mc:Fallback>
        <control shapeId="2061" r:id="rId26" name="cmdGuardarFactura"/>
      </mc:Fallback>
    </mc:AlternateContent>
    <mc:AlternateContent xmlns:mc="http://schemas.openxmlformats.org/markup-compatibility/2006">
      <mc:Choice Requires="x14">
        <control shapeId="2062" r:id="rId28" name="cmdHoy">
          <controlPr defaultSize="0" print="0" autoLine="0" autoPict="0" r:id="rId29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28" name="cmdHoy"/>
      </mc:Fallback>
    </mc:AlternateContent>
    <mc:AlternateContent xmlns:mc="http://schemas.openxmlformats.org/markup-compatibility/2006">
      <mc:Choice Requires="x14">
        <control shapeId="2068" r:id="rId30" name="optExcel">
          <controlPr defaultSize="0" autoLine="0" r:id="rId31">
            <anchor moveWithCells="1">
              <from>
                <xdr:col>7</xdr:col>
                <xdr:colOff>53340</xdr:colOff>
                <xdr:row>12</xdr:row>
                <xdr:rowOff>106680</xdr:rowOff>
              </from>
              <to>
                <xdr:col>8</xdr:col>
                <xdr:colOff>632460</xdr:colOff>
                <xdr:row>13</xdr:row>
                <xdr:rowOff>175260</xdr:rowOff>
              </to>
            </anchor>
          </controlPr>
        </control>
      </mc:Choice>
      <mc:Fallback>
        <control shapeId="2068" r:id="rId30" name="optExcel"/>
      </mc:Fallback>
    </mc:AlternateContent>
    <mc:AlternateContent xmlns:mc="http://schemas.openxmlformats.org/markup-compatibility/2006">
      <mc:Choice Requires="x14">
        <control shapeId="2069" r:id="rId32" name="optPdf">
          <controlPr defaultSize="0" autoLine="0" r:id="rId33">
            <anchor moveWithCells="1">
              <from>
                <xdr:col>7</xdr:col>
                <xdr:colOff>60960</xdr:colOff>
                <xdr:row>14</xdr:row>
                <xdr:rowOff>68580</xdr:rowOff>
              </from>
              <to>
                <xdr:col>8</xdr:col>
                <xdr:colOff>640080</xdr:colOff>
                <xdr:row>15</xdr:row>
                <xdr:rowOff>129540</xdr:rowOff>
              </to>
            </anchor>
          </controlPr>
        </control>
      </mc:Choice>
      <mc:Fallback>
        <control shapeId="2069" r:id="rId32" name="optPdf"/>
      </mc:Fallback>
    </mc:AlternateContent>
    <mc:AlternateContent xmlns:mc="http://schemas.openxmlformats.org/markup-compatibility/2006">
      <mc:Choice Requires="x14">
        <control shapeId="2072" r:id="rId34" name="cmdExportar">
          <controlPr defaultSize="0" autoLine="0" r:id="rId35">
            <anchor moveWithCells="1">
              <from>
                <xdr:col>8</xdr:col>
                <xdr:colOff>655320</xdr:colOff>
                <xdr:row>12</xdr:row>
                <xdr:rowOff>68580</xdr:rowOff>
              </from>
              <to>
                <xdr:col>9</xdr:col>
                <xdr:colOff>769620</xdr:colOff>
                <xdr:row>14</xdr:row>
                <xdr:rowOff>7620</xdr:rowOff>
              </to>
            </anchor>
          </controlPr>
        </control>
      </mc:Choice>
      <mc:Fallback>
        <control shapeId="2072" r:id="rId34" name="cmdExport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42917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3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60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1</v>
      </c>
    </row>
    <row r="32" spans="2:6" ht="15" thickBot="1" x14ac:dyDescent="0.35">
      <c r="D32" s="2" t="s">
        <v>15</v>
      </c>
      <c r="E32" s="14">
        <v>0.21</v>
      </c>
      <c r="F32" s="13">
        <f>F31*E32</f>
        <v>0.21</v>
      </c>
    </row>
    <row r="33" spans="4:6" ht="15" thickBot="1" x14ac:dyDescent="0.35">
      <c r="D33" s="25" t="s">
        <v>16</v>
      </c>
      <c r="E33" s="25"/>
      <c r="F33" s="13">
        <f>F31+F32</f>
        <v>1.21</v>
      </c>
    </row>
  </sheetData>
  <mergeCells count="3">
    <mergeCell ref="B2:C4"/>
    <mergeCell ref="D31:E31"/>
    <mergeCell ref="D33:E33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7"/>
  <sheetViews>
    <sheetView workbookViewId="0">
      <selection activeCell="D21" sqref="D21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10</v>
      </c>
      <c r="C1" s="15" t="s">
        <v>11</v>
      </c>
      <c r="D1" s="15" t="s">
        <v>57</v>
      </c>
      <c r="E1" s="15" t="s">
        <v>58</v>
      </c>
    </row>
    <row r="2" spans="1:5" x14ac:dyDescent="0.3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 t="s">
        <v>52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26</v>
      </c>
    </row>
    <row r="32" spans="2:6" ht="15" thickBot="1" x14ac:dyDescent="0.35">
      <c r="D32" s="2" t="s">
        <v>15</v>
      </c>
      <c r="E32" s="14">
        <v>0.21</v>
      </c>
      <c r="F32" s="13">
        <f>F31*E32</f>
        <v>5.46</v>
      </c>
    </row>
    <row r="33" spans="4:6" ht="15" thickBot="1" x14ac:dyDescent="0.35">
      <c r="D33" s="25" t="s">
        <v>16</v>
      </c>
      <c r="E33" s="25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2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42916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2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53</v>
      </c>
      <c r="D8" s="1"/>
      <c r="E8" s="1"/>
      <c r="F8" s="1"/>
    </row>
    <row r="9" spans="2:8" ht="15" thickBot="1" x14ac:dyDescent="0.35">
      <c r="B9" s="2" t="s">
        <v>6</v>
      </c>
      <c r="C9" s="2" t="s">
        <v>54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100</v>
      </c>
    </row>
    <row r="32" spans="2:6" ht="15" thickBot="1" x14ac:dyDescent="0.35">
      <c r="D32" s="2" t="s">
        <v>15</v>
      </c>
      <c r="E32" s="14">
        <v>0.21</v>
      </c>
      <c r="F32" s="13">
        <f>F31*E32</f>
        <v>21</v>
      </c>
    </row>
    <row r="33" spans="4:6" ht="15" thickBot="1" x14ac:dyDescent="0.35">
      <c r="D33" s="25" t="s">
        <v>16</v>
      </c>
      <c r="E33" s="25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cp:lastPrinted>2017-07-01T09:39:01Z</cp:lastPrinted>
  <dcterms:created xsi:type="dcterms:W3CDTF">2017-05-19T23:26:15Z</dcterms:created>
  <dcterms:modified xsi:type="dcterms:W3CDTF">2017-07-28T15:00:10Z</dcterms:modified>
</cp:coreProperties>
</file>